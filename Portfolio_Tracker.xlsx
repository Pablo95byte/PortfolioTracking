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vestimenti" sheetId="2" state="visible" r:id="rId2"/>
    <sheet name="Fondi Comuni" sheetId="3" state="visible" r:id="rId3"/>
    <sheet name="Conti &amp; Liquidità" sheetId="4" state="visible" r:id="rId4"/>
    <sheet name="Mutuo &amp; Debiti" sheetId="5" state="visible" r:id="rId5"/>
    <sheet name="Stipendi" sheetId="6" state="visible" r:id="rId6"/>
    <sheet name="Spese Mensili" sheetId="7" state="visible" r:id="rId7"/>
    <sheet name="Tasse" sheetId="8" state="visible" r:id="rId8"/>
    <sheet name="Storico Patrimoni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#,##0.00"/>
    <numFmt numFmtId="165" formatCode="0.00&quot;%&quot;"/>
  </numFmts>
  <fonts count="23">
    <font>
      <name val="Calibri"/>
      <family val="2"/>
      <color theme="1"/>
      <sz val="11"/>
      <scheme val="minor"/>
    </font>
    <font>
      <b val="1"/>
      <color rgb="00FFFFFF"/>
      <sz val="24"/>
    </font>
    <font>
      <i val="1"/>
      <color rgb="006B7280"/>
      <sz val="10"/>
    </font>
    <font>
      <b val="1"/>
      <color rgb="001F2937"/>
      <sz val="11"/>
    </font>
    <font>
      <b val="1"/>
      <color rgb="001E3A8A"/>
      <sz val="18"/>
    </font>
    <font>
      <b val="1"/>
      <color rgb="0010B981"/>
      <sz val="10"/>
    </font>
    <font>
      <b val="1"/>
      <color rgb="0010B981"/>
      <sz val="14"/>
    </font>
    <font>
      <b val="1"/>
      <color rgb="00EF4444"/>
      <sz val="10"/>
    </font>
    <font>
      <b val="1"/>
      <color rgb="00EF4444"/>
      <sz val="14"/>
    </font>
    <font>
      <b val="1"/>
      <color rgb="001E3A8A"/>
      <sz val="14"/>
    </font>
    <font>
      <b val="1"/>
      <i val="1"/>
      <color rgb="008B5CF6"/>
      <sz val="11"/>
    </font>
    <font>
      <b val="1"/>
      <color rgb="00FFFFFF"/>
      <sz val="11"/>
    </font>
    <font>
      <i val="1"/>
      <color rgb="009CA3AF"/>
      <sz val="11"/>
    </font>
    <font>
      <sz val="11"/>
    </font>
    <font>
      <b val="1"/>
      <color rgb="003B82F6"/>
      <sz val="10"/>
    </font>
    <font>
      <color rgb="004B5563"/>
      <sz val="10"/>
    </font>
    <font>
      <sz val="10"/>
    </font>
    <font>
      <b val="1"/>
      <color rgb="0010B981"/>
      <sz val="11"/>
    </font>
    <font>
      <color rgb="00EF4444"/>
      <sz val="11"/>
    </font>
    <font>
      <b val="1"/>
      <color rgb="00FFFFFF"/>
      <sz val="12"/>
    </font>
    <font>
      <b val="1"/>
      <color rgb="003B82F6"/>
    </font>
    <font>
      <b val="1"/>
      <color rgb="0010B981"/>
    </font>
    <font>
      <b val="1"/>
      <color rgb="00F59E0B"/>
    </font>
  </fonts>
  <fills count="11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3F4F6"/>
        <bgColor rgb="00F3F4F6"/>
      </patternFill>
    </fill>
    <fill>
      <patternFill patternType="solid">
        <fgColor rgb="00D1FAE5"/>
        <bgColor rgb="00D1FAE5"/>
      </patternFill>
    </fill>
    <fill>
      <patternFill patternType="solid">
        <fgColor rgb="00FEE2E2"/>
        <bgColor rgb="00FEE2E2"/>
      </patternFill>
    </fill>
    <fill>
      <patternFill patternType="solid">
        <fgColor rgb="00EDE9FE"/>
        <bgColor rgb="00EDE9FE"/>
      </patternFill>
    </fill>
    <fill>
      <patternFill patternType="solid">
        <fgColor rgb="001F2937"/>
        <bgColor rgb="001F2937"/>
      </patternFill>
    </fill>
    <fill>
      <patternFill patternType="solid">
        <fgColor rgb="00F9FAFB"/>
        <bgColor rgb="00F9FAFB"/>
      </patternFill>
    </fill>
    <fill>
      <patternFill patternType="solid">
        <fgColor rgb="00DBEAFE"/>
        <bgColor rgb="00DBEAFE"/>
      </patternFill>
    </fill>
    <fill>
      <patternFill patternType="solid">
        <fgColor rgb="00FEF3C7"/>
        <bgColor rgb="00FEF3C7"/>
      </patternFill>
    </fill>
  </fills>
  <borders count="3">
    <border>
      <left/>
      <right/>
      <top/>
      <bottom/>
      <diagonal/>
    </border>
    <border>
      <left style="medium">
        <color rgb="001E3A8A"/>
      </left>
      <right style="medium">
        <color rgb="001E3A8A"/>
      </right>
      <top style="medium">
        <color rgb="001E3A8A"/>
      </top>
      <bottom style="medium">
        <color rgb="001E3A8A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64" fontId="4" fillId="3" borderId="1" applyAlignment="1" pivotButton="0" quotePrefix="0" xfId="0">
      <alignment horizontal="center" vertical="center"/>
    </xf>
    <xf numFmtId="164" fontId="6" fillId="4" borderId="2" applyAlignment="1" pivotButton="0" quotePrefix="0" xfId="0">
      <alignment horizontal="center" vertical="center"/>
    </xf>
    <xf numFmtId="164" fontId="8" fillId="5" borderId="2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10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/>
    </xf>
    <xf numFmtId="0" fontId="12" fillId="8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/>
    </xf>
    <xf numFmtId="164" fontId="0" fillId="0" borderId="2" applyAlignment="1" pivotButton="0" quotePrefix="0" xfId="0">
      <alignment horizontal="right"/>
    </xf>
    <xf numFmtId="165" fontId="0" fillId="0" borderId="2" applyAlignment="1" pivotButton="0" quotePrefix="0" xfId="0">
      <alignment horizontal="center"/>
    </xf>
    <xf numFmtId="0" fontId="14" fillId="9" borderId="2" applyAlignment="1" pivotButton="0" quotePrefix="0" xfId="0">
      <alignment horizontal="center"/>
    </xf>
    <xf numFmtId="0" fontId="15" fillId="0" borderId="2" pivotButton="0" quotePrefix="0" xfId="0"/>
    <xf numFmtId="164" fontId="16" fillId="0" borderId="2" applyAlignment="1" pivotButton="0" quotePrefix="0" xfId="0">
      <alignment horizontal="right"/>
    </xf>
    <xf numFmtId="0" fontId="17" fillId="4" borderId="1" pivotButton="0" quotePrefix="0" xfId="0"/>
    <xf numFmtId="164" fontId="17" fillId="4" borderId="1" applyAlignment="1" pivotButton="0" quotePrefix="0" xfId="0">
      <alignment horizontal="right"/>
    </xf>
    <xf numFmtId="0" fontId="13" fillId="0" borderId="2" pivotButton="0" quotePrefix="0" xfId="0"/>
    <xf numFmtId="164" fontId="18" fillId="0" borderId="2" applyAlignment="1" pivotButton="0" quotePrefix="0" xfId="0">
      <alignment horizontal="right"/>
    </xf>
    <xf numFmtId="0" fontId="19" fillId="2" borderId="1" pivotButton="0" quotePrefix="0" xfId="0"/>
    <xf numFmtId="164" fontId="19" fillId="2" borderId="1" applyAlignment="1" pivotButton="0" quotePrefix="0" xfId="0">
      <alignment horizontal="right"/>
    </xf>
    <xf numFmtId="0" fontId="11" fillId="7" borderId="2" applyAlignment="1" pivotButton="0" quotePrefix="0" xfId="0">
      <alignment horizontal="center" wrapText="1"/>
    </xf>
    <xf numFmtId="0" fontId="20" fillId="9" borderId="0" pivotButton="0" quotePrefix="0" xfId="0"/>
    <xf numFmtId="0" fontId="21" fillId="4" borderId="0" pivotButton="0" quotePrefix="0" xfId="0"/>
    <xf numFmtId="0" fontId="22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40" customHeight="1">
      <c r="A1" s="1" t="inlineStr">
        <is>
          <t>PORTFOLIO TRACKER</t>
        </is>
      </c>
    </row>
    <row r="2">
      <c r="A2" s="2" t="inlineStr">
        <is>
          <t>Ultimo aggiornamento: 23/11/2025</t>
        </is>
      </c>
    </row>
    <row r="3" ht="10" customHeight="1"/>
    <row r="4">
      <c r="A4" s="3" t="inlineStr">
        <is>
          <t>PATRIMONIO NETTO</t>
        </is>
      </c>
      <c r="D4" s="4" t="inlineStr">
        <is>
          <t>TOTALE ATTIVO</t>
        </is>
      </c>
      <c r="F4" s="5" t="inlineStr">
        <is>
          <t>TOTALE PASSIVO</t>
        </is>
      </c>
    </row>
    <row r="5" ht="35" customHeight="1">
      <c r="A5" s="6">
        <f>B15-B17</f>
        <v/>
      </c>
      <c r="D5" s="7">
        <f>B15</f>
        <v/>
      </c>
      <c r="F5" s="8">
        <f>B17</f>
        <v/>
      </c>
    </row>
    <row r="6" ht="15" customHeight="1"/>
    <row r="7">
      <c r="A7" s="9" t="inlineStr">
        <is>
          <t>COMPOSIZIONE PORTAFOGLIO</t>
        </is>
      </c>
      <c r="D7" s="10" t="inlineStr">
        <is>
          <t>📊 INSERISCI QUI IL GRAFICO A TORTA</t>
        </is>
      </c>
    </row>
    <row r="8">
      <c r="A8" s="11" t="inlineStr">
        <is>
          <t>Categoria</t>
        </is>
      </c>
      <c r="B8" s="11" t="inlineStr">
        <is>
          <t>Valore (€)</t>
        </is>
      </c>
      <c r="C8" s="11" t="inlineStr">
        <is>
          <t>% Portafoglio</t>
        </is>
      </c>
      <c r="D8" s="12" t="inlineStr">
        <is>
          <t>Seleziona i dati A9:B14
e inserisci un grafico a torta
(Inserisci → Grafico → Torta)</t>
        </is>
      </c>
    </row>
    <row r="9">
      <c r="A9" s="13" t="inlineStr">
        <is>
          <t>Investimenti</t>
        </is>
      </c>
      <c r="B9" s="14">
        <f>SUMIF(Investimenti!B:B,"&lt;&gt;",Investimenti!I:I)</f>
        <v/>
      </c>
      <c r="C9" s="15">
        <f>IF($B$15&gt;0,B9/$B$15*100,0)</f>
        <v/>
      </c>
    </row>
    <row r="10">
      <c r="A10" s="13" t="inlineStr">
        <is>
          <t>Fondi Comuni</t>
        </is>
      </c>
      <c r="B10" s="14">
        <f>SUMIF('Fondi Comuni'!A:A,"&lt;&gt;",'Fondi Comuni'!F:F)</f>
        <v/>
      </c>
      <c r="C10" s="15">
        <f>IF($B$15&gt;0,B10/$B$15*100,0)</f>
        <v/>
      </c>
    </row>
    <row r="11">
      <c r="A11" s="13" t="inlineStr">
        <is>
          <t>Conti &amp; Liquidità</t>
        </is>
      </c>
      <c r="B11" s="14">
        <f>SUMIF('Conti &amp; Liquidità'!A:A,"&lt;&gt;",'Conti &amp; Liquidità'!C:C)</f>
        <v/>
      </c>
      <c r="C11" s="15">
        <f>IF($B$15&gt;0,B11/$B$15*100,0)</f>
        <v/>
      </c>
    </row>
    <row r="12"/>
    <row r="13">
      <c r="A13" s="16" t="inlineStr">
        <is>
          <t>DETTAGLIO INVESTIMENTI</t>
        </is>
      </c>
    </row>
    <row r="14">
      <c r="A14" s="17" t="inlineStr">
        <is>
          <t xml:space="preserve">  • Azioni</t>
        </is>
      </c>
      <c r="B14" s="18">
        <f>SUMIFS(Investimenti!I:I,Investimenti!A:A,"Azione")</f>
        <v/>
      </c>
    </row>
    <row r="15">
      <c r="A15" s="17" t="inlineStr">
        <is>
          <t xml:space="preserve">  • ETF</t>
        </is>
      </c>
      <c r="B15" s="18">
        <f>SUMIFS(Investimenti!I:I,Investimenti!A:A,"ETF")</f>
        <v/>
      </c>
    </row>
    <row r="16">
      <c r="A16" s="17" t="inlineStr">
        <is>
          <t xml:space="preserve">  • Bond</t>
        </is>
      </c>
      <c r="B16" s="18">
        <f>SUMIFS(Investimenti!I:I,Investimenti!A:A,"Bond")</f>
        <v/>
      </c>
    </row>
    <row r="17">
      <c r="A17" s="19" t="inlineStr">
        <is>
          <t>TOTALE ATTIVO</t>
        </is>
      </c>
      <c r="B17" s="20">
        <f>SUM(B9:B11)</f>
        <v/>
      </c>
    </row>
    <row r="18"/>
    <row r="19">
      <c r="A19" s="21" t="inlineStr">
        <is>
          <t>Mutuo &amp; Debiti</t>
        </is>
      </c>
      <c r="B19" s="22">
        <f>SUMIF('Mutuo &amp; Debiti'!A:A,"&lt;&gt;",'Mutuo &amp; Debiti'!C:C)</f>
        <v/>
      </c>
    </row>
    <row r="20"/>
    <row r="21">
      <c r="A21" s="23" t="inlineStr">
        <is>
          <t>PATRIMONIO NETTO</t>
        </is>
      </c>
      <c r="B21" s="24">
        <f>B15-B17</f>
        <v/>
      </c>
    </row>
  </sheetData>
  <mergeCells count="14">
    <mergeCell ref="A2:F2"/>
    <mergeCell ref="B21:C21"/>
    <mergeCell ref="A13:C13"/>
    <mergeCell ref="B16:C16"/>
    <mergeCell ref="B15:C15"/>
    <mergeCell ref="A7:B7"/>
    <mergeCell ref="B19:C19"/>
    <mergeCell ref="A1:F1"/>
    <mergeCell ref="D5:E5"/>
    <mergeCell ref="A5:B5"/>
    <mergeCell ref="D8:F20"/>
    <mergeCell ref="B14:C14"/>
    <mergeCell ref="B17:C17"/>
    <mergeCell ref="D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2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4" customWidth="1" min="9" max="9"/>
    <col width="11" customWidth="1" min="10" max="10"/>
    <col width="18" customWidth="1" min="11" max="11"/>
    <col width="14" customWidth="1" min="12" max="12"/>
    <col width="14" customWidth="1" min="13" max="13"/>
    <col width="30" customWidth="1" min="14" max="14"/>
  </cols>
  <sheetData>
    <row r="1">
      <c r="A1" s="25" t="inlineStr">
        <is>
          <t>Tipo</t>
        </is>
      </c>
      <c r="B1" s="25" t="inlineStr">
        <is>
          <t>Ticker/ISIN</t>
        </is>
      </c>
      <c r="C1" s="25" t="inlineStr">
        <is>
          <t>Nome</t>
        </is>
      </c>
      <c r="D1" s="25" t="inlineStr">
        <is>
          <t>Quantità/Nominale</t>
        </is>
      </c>
      <c r="E1" s="25" t="inlineStr">
        <is>
          <t>Prezzo Carico (€)</t>
        </is>
      </c>
      <c r="F1" s="25" t="inlineStr">
        <is>
          <t>Prezzo Corrente (€)</t>
        </is>
      </c>
      <c r="G1" s="25" t="inlineStr">
        <is>
          <t>Valore Carico (€)</t>
        </is>
      </c>
      <c r="H1" s="25" t="inlineStr">
        <is>
          <t>Valore Corrente (€)</t>
        </is>
      </c>
      <c r="I1" s="25" t="inlineStr">
        <is>
          <t>P&amp;L (€)</t>
        </is>
      </c>
      <c r="J1" s="25" t="inlineStr">
        <is>
          <t>P&amp;L (%)</t>
        </is>
      </c>
      <c r="K1" s="25" t="inlineStr">
        <is>
          <t>Dividendi/Cedole (€)</t>
        </is>
      </c>
      <c r="L1" s="25" t="inlineStr">
        <is>
          <t>Data Acquisto</t>
        </is>
      </c>
      <c r="M1" s="25" t="inlineStr">
        <is>
          <t>Scadenza</t>
        </is>
      </c>
      <c r="N1" s="25" t="inlineStr">
        <is>
          <t>Note</t>
        </is>
      </c>
    </row>
    <row r="2">
      <c r="A2" s="26" t="inlineStr">
        <is>
          <t>Azione</t>
        </is>
      </c>
      <c r="F2">
        <f>IF(A2="Bond","",IFERROR(GOOGLEFINANCE(B2,"price"),""))</f>
        <v/>
      </c>
      <c r="G2">
        <f>IF(D2&lt;&gt;"",D2*E2,"")</f>
        <v/>
      </c>
      <c r="H2">
        <f>IF(AND(D2&lt;&gt;"",F2&lt;&gt;""),D2*F2,"")</f>
        <v/>
      </c>
      <c r="I2">
        <f>IF(H2&lt;&gt;"",H2-G2,"")</f>
        <v/>
      </c>
      <c r="J2">
        <f>IF(G2&lt;&gt;0,I2/G2*100,"")</f>
        <v/>
      </c>
    </row>
    <row r="3">
      <c r="A3" s="27" t="inlineStr">
        <is>
          <t>ETF</t>
        </is>
      </c>
    </row>
    <row r="4">
      <c r="A4" s="28" t="inlineStr">
        <is>
          <t>Bond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0" customWidth="1" min="3" max="3"/>
    <col width="18" customWidth="1" min="4" max="4"/>
    <col width="18" customWidth="1" min="5" max="5"/>
    <col width="18" customWidth="1" min="6" max="6"/>
    <col width="15" customWidth="1" min="7" max="7"/>
    <col width="12" customWidth="1" min="8" max="8"/>
    <col width="15" customWidth="1" min="9" max="9"/>
    <col width="30" customWidth="1" min="10" max="10"/>
  </cols>
  <sheetData>
    <row r="1">
      <c r="A1" s="25" t="inlineStr">
        <is>
          <t>Nome Fondo</t>
        </is>
      </c>
      <c r="B1" s="25" t="inlineStr">
        <is>
          <t>ISIN</t>
        </is>
      </c>
      <c r="C1" s="25" t="inlineStr">
        <is>
          <t>Quote</t>
        </is>
      </c>
      <c r="D1" s="25" t="inlineStr">
        <is>
          <t>Prezzo Carico (€)</t>
        </is>
      </c>
      <c r="E1" s="25" t="inlineStr">
        <is>
          <t>Prezzo Corrente (€)</t>
        </is>
      </c>
      <c r="F1" s="25" t="inlineStr">
        <is>
          <t>Valore Corrente (€)</t>
        </is>
      </c>
      <c r="G1" s="25" t="inlineStr">
        <is>
          <t>P&amp;L (€)</t>
        </is>
      </c>
      <c r="H1" s="25" t="inlineStr">
        <is>
          <t>P&amp;L (%)</t>
        </is>
      </c>
      <c r="I1" s="25" t="inlineStr">
        <is>
          <t>Data Acquisto</t>
        </is>
      </c>
      <c r="J1" s="25" t="inlineStr">
        <is>
          <t>Note</t>
        </is>
      </c>
    </row>
    <row r="2">
      <c r="F2">
        <f>IF(C2&lt;&gt;"",C2*E2,"")</f>
        <v/>
      </c>
      <c r="G2">
        <f>IF(F2&lt;&gt;"",F2-(C2*D2),"")</f>
        <v/>
      </c>
      <c r="H2">
        <f>IF(C2*D2&lt;&gt;0,G2/(C2*D2)*100,"")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18" customWidth="1" min="4" max="4"/>
    <col width="18" customWidth="1" min="5" max="5"/>
    <col width="20" customWidth="1" min="6" max="6"/>
    <col width="30" customWidth="1" min="7" max="7"/>
  </cols>
  <sheetData>
    <row r="1">
      <c r="A1" s="25" t="inlineStr">
        <is>
          <t>Nome Conto/Banca</t>
        </is>
      </c>
      <c r="B1" s="25" t="inlineStr">
        <is>
          <t>Tipo</t>
        </is>
      </c>
      <c r="C1" s="25" t="inlineStr">
        <is>
          <t>Saldo (€)</t>
        </is>
      </c>
      <c r="D1" s="25" t="inlineStr">
        <is>
          <t>Tasso Interesse (%)</t>
        </is>
      </c>
      <c r="E1" s="25" t="inlineStr">
        <is>
          <t>Scadenza Vincolo</t>
        </is>
      </c>
      <c r="F1" s="25" t="inlineStr">
        <is>
          <t>Interessi Maturati (€)</t>
        </is>
      </c>
      <c r="G1" s="25" t="inlineStr">
        <is>
          <t>Note</t>
        </is>
      </c>
    </row>
    <row r="2">
      <c r="B2" t="inlineStr">
        <is>
          <t>Conto Corrente</t>
        </is>
      </c>
    </row>
    <row r="3">
      <c r="B3" t="inlineStr">
        <is>
          <t>Deposito Libero</t>
        </is>
      </c>
    </row>
    <row r="4">
      <c r="B4" t="inlineStr">
        <is>
          <t>Deposito Vincolato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18" customWidth="1" min="4" max="4"/>
    <col width="18" customWidth="1" min="5" max="5"/>
    <col width="15" customWidth="1" min="6" max="6"/>
    <col width="15" customWidth="1" min="7" max="7"/>
    <col width="30" customWidth="1" min="8" max="8"/>
  </cols>
  <sheetData>
    <row r="1">
      <c r="A1" s="25" t="inlineStr">
        <is>
          <t>Tipo Debito</t>
        </is>
      </c>
      <c r="B1" s="25" t="inlineStr">
        <is>
          <t>Importo Iniziale (€)</t>
        </is>
      </c>
      <c r="C1" s="25" t="inlineStr">
        <is>
          <t>Debito Residuo (€)</t>
        </is>
      </c>
      <c r="D1" s="25" t="inlineStr">
        <is>
          <t>Tasso Interesse (%)</t>
        </is>
      </c>
      <c r="E1" s="25" t="inlineStr">
        <is>
          <t>Rata Mensile (€)</t>
        </is>
      </c>
      <c r="F1" s="25" t="inlineStr">
        <is>
          <t>Data Inizio</t>
        </is>
      </c>
      <c r="G1" s="25" t="inlineStr">
        <is>
          <t>Scadenza</t>
        </is>
      </c>
      <c r="H1" s="25" t="inlineStr">
        <is>
          <t>Note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0" customWidth="1" min="3" max="3"/>
    <col width="20" customWidth="1" min="4" max="4"/>
    <col width="18" customWidth="1" min="5" max="5"/>
    <col width="18" customWidth="1" min="6" max="6"/>
    <col width="30" customWidth="1" min="7" max="7"/>
  </cols>
  <sheetData>
    <row r="1">
      <c r="A1" s="25" t="inlineStr">
        <is>
          <t>Anno</t>
        </is>
      </c>
      <c r="B1" s="25" t="inlineStr">
        <is>
          <t>Mese</t>
        </is>
      </c>
      <c r="C1" s="25" t="inlineStr">
        <is>
          <t>Stipendio Lordo (€)</t>
        </is>
      </c>
      <c r="D1" s="25" t="inlineStr">
        <is>
          <t>Stipendio Netto (€)</t>
        </is>
      </c>
      <c r="E1" s="25" t="inlineStr">
        <is>
          <t>Bonus/Extra (€)</t>
        </is>
      </c>
      <c r="F1" s="25" t="inlineStr">
        <is>
          <t>Totale Netto (€)</t>
        </is>
      </c>
      <c r="G1" s="25" t="inlineStr">
        <is>
          <t>Note</t>
        </is>
      </c>
    </row>
    <row r="2">
      <c r="A2" t="n">
        <v>2025</v>
      </c>
      <c r="B2" t="inlineStr">
        <is>
          <t>Gennaio</t>
        </is>
      </c>
      <c r="F2">
        <f>IF(D2&lt;&gt;"",D2+E2,"")</f>
        <v/>
      </c>
    </row>
    <row r="3">
      <c r="A3" t="n">
        <v>2025</v>
      </c>
      <c r="B3" t="inlineStr">
        <is>
          <t>Febbraio</t>
        </is>
      </c>
    </row>
    <row r="4">
      <c r="A4" t="n">
        <v>2025</v>
      </c>
      <c r="B4" t="inlineStr">
        <is>
          <t>Marzo</t>
        </is>
      </c>
    </row>
    <row r="5">
      <c r="A5" t="n">
        <v>2025</v>
      </c>
      <c r="B5" t="inlineStr">
        <is>
          <t>Aprile</t>
        </is>
      </c>
    </row>
    <row r="6">
      <c r="A6" t="n">
        <v>2025</v>
      </c>
      <c r="B6" t="inlineStr">
        <is>
          <t>Maggio</t>
        </is>
      </c>
    </row>
    <row r="7">
      <c r="A7" t="n">
        <v>2025</v>
      </c>
      <c r="B7" t="inlineStr">
        <is>
          <t>Giugno</t>
        </is>
      </c>
    </row>
    <row r="8">
      <c r="A8" t="n">
        <v>2025</v>
      </c>
      <c r="B8" t="inlineStr">
        <is>
          <t>Luglio</t>
        </is>
      </c>
    </row>
    <row r="9">
      <c r="A9" t="n">
        <v>2025</v>
      </c>
      <c r="B9" t="inlineStr">
        <is>
          <t>Agosto</t>
        </is>
      </c>
    </row>
    <row r="10">
      <c r="A10" t="n">
        <v>2025</v>
      </c>
      <c r="B10" t="inlineStr">
        <is>
          <t>Settembre</t>
        </is>
      </c>
    </row>
    <row r="11">
      <c r="A11" t="n">
        <v>2025</v>
      </c>
      <c r="B11" t="inlineStr">
        <is>
          <t>Ottobre</t>
        </is>
      </c>
    </row>
    <row r="12">
      <c r="A12" t="n">
        <v>2025</v>
      </c>
      <c r="B12" t="inlineStr">
        <is>
          <t>Novembre</t>
        </is>
      </c>
    </row>
    <row r="13">
      <c r="A13" t="n">
        <v>2025</v>
      </c>
      <c r="B13" t="inlineStr">
        <is>
          <t>Dicembre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12" customWidth="1" min="4" max="4"/>
    <col width="12" customWidth="1" min="5" max="5"/>
    <col width="12" customWidth="1" min="6" max="6"/>
    <col width="15" customWidth="1" min="7" max="7"/>
    <col width="15" customWidth="1" min="8" max="8"/>
    <col width="12" customWidth="1" min="9" max="9"/>
    <col width="12" customWidth="1" min="10" max="10"/>
    <col width="15" customWidth="1" min="11" max="11"/>
    <col width="30" customWidth="1" min="12" max="12"/>
  </cols>
  <sheetData>
    <row r="1">
      <c r="A1" s="25" t="inlineStr">
        <is>
          <t>Anno</t>
        </is>
      </c>
      <c r="B1" s="25" t="inlineStr">
        <is>
          <t>Mese</t>
        </is>
      </c>
      <c r="C1" s="25" t="inlineStr">
        <is>
          <t>Affitto/Mutuo (€)</t>
        </is>
      </c>
      <c r="D1" s="25" t="inlineStr">
        <is>
          <t>Bollette (€)</t>
        </is>
      </c>
      <c r="E1" s="25" t="inlineStr">
        <is>
          <t>Spesa (€)</t>
        </is>
      </c>
      <c r="F1" s="25" t="inlineStr">
        <is>
          <t>Trasporti (€)</t>
        </is>
      </c>
      <c r="G1" s="25" t="inlineStr">
        <is>
          <t>Assicurazioni (€)</t>
        </is>
      </c>
      <c r="H1" s="25" t="inlineStr">
        <is>
          <t>Abbonamenti (€)</t>
        </is>
      </c>
      <c r="I1" s="25" t="inlineStr">
        <is>
          <t>Svago (€)</t>
        </is>
      </c>
      <c r="J1" s="25" t="inlineStr">
        <is>
          <t>Altro (€)</t>
        </is>
      </c>
      <c r="K1" s="25" t="inlineStr">
        <is>
          <t>TOTALE (€)</t>
        </is>
      </c>
      <c r="L1" s="25" t="inlineStr">
        <is>
          <t>Note</t>
        </is>
      </c>
    </row>
    <row r="2">
      <c r="A2" t="n">
        <v>2025</v>
      </c>
      <c r="B2" t="inlineStr">
        <is>
          <t>Gennaio</t>
        </is>
      </c>
      <c r="K2">
        <f>SUM(C2:J2)</f>
        <v/>
      </c>
    </row>
    <row r="3">
      <c r="A3" t="n">
        <v>2025</v>
      </c>
      <c r="B3" t="inlineStr">
        <is>
          <t>Febbraio</t>
        </is>
      </c>
    </row>
    <row r="4">
      <c r="A4" t="n">
        <v>2025</v>
      </c>
      <c r="B4" t="inlineStr">
        <is>
          <t>Marzo</t>
        </is>
      </c>
    </row>
    <row r="5">
      <c r="A5" t="n">
        <v>2025</v>
      </c>
      <c r="B5" t="inlineStr">
        <is>
          <t>Aprile</t>
        </is>
      </c>
    </row>
    <row r="6">
      <c r="A6" t="n">
        <v>2025</v>
      </c>
      <c r="B6" t="inlineStr">
        <is>
          <t>Maggio</t>
        </is>
      </c>
    </row>
    <row r="7">
      <c r="A7" t="n">
        <v>2025</v>
      </c>
      <c r="B7" t="inlineStr">
        <is>
          <t>Giugno</t>
        </is>
      </c>
    </row>
    <row r="8">
      <c r="A8" t="n">
        <v>2025</v>
      </c>
      <c r="B8" t="inlineStr">
        <is>
          <t>Luglio</t>
        </is>
      </c>
    </row>
    <row r="9">
      <c r="A9" t="n">
        <v>2025</v>
      </c>
      <c r="B9" t="inlineStr">
        <is>
          <t>Agosto</t>
        </is>
      </c>
    </row>
    <row r="10">
      <c r="A10" t="n">
        <v>2025</v>
      </c>
      <c r="B10" t="inlineStr">
        <is>
          <t>Settembre</t>
        </is>
      </c>
    </row>
    <row r="11">
      <c r="A11" t="n">
        <v>2025</v>
      </c>
      <c r="B11" t="inlineStr">
        <is>
          <t>Ottobre</t>
        </is>
      </c>
    </row>
    <row r="12">
      <c r="A12" t="n">
        <v>2025</v>
      </c>
      <c r="B12" t="inlineStr">
        <is>
          <t>Novembre</t>
        </is>
      </c>
    </row>
    <row r="13">
      <c r="A13" t="n">
        <v>2025</v>
      </c>
      <c r="B13" t="inlineStr">
        <is>
          <t>Dicembre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5" customWidth="1" min="3" max="3"/>
    <col width="20" customWidth="1" min="4" max="4"/>
    <col width="15" customWidth="1" min="5" max="5"/>
    <col width="20" customWidth="1" min="6" max="6"/>
    <col width="18" customWidth="1" min="7" max="7"/>
    <col width="30" customWidth="1" min="8" max="8"/>
  </cols>
  <sheetData>
    <row r="1">
      <c r="A1" s="25" t="inlineStr">
        <is>
          <t>Anno Fiscale</t>
        </is>
      </c>
      <c r="B1" s="25" t="inlineStr">
        <is>
          <t>Tipo</t>
        </is>
      </c>
      <c r="C1" s="25" t="inlineStr">
        <is>
          <t>Descrizione</t>
        </is>
      </c>
      <c r="D1" s="25" t="inlineStr">
        <is>
          <t>Base Imponibile (€)</t>
        </is>
      </c>
      <c r="E1" s="25" t="inlineStr">
        <is>
          <t>Aliquota (%)</t>
        </is>
      </c>
      <c r="F1" s="25" t="inlineStr">
        <is>
          <t>Importo Pagato (€)</t>
        </is>
      </c>
      <c r="G1" s="25" t="inlineStr">
        <is>
          <t>Data Pagamento</t>
        </is>
      </c>
      <c r="H1" s="25" t="inlineStr">
        <is>
          <t>Note</t>
        </is>
      </c>
    </row>
    <row r="2">
      <c r="B2" t="inlineStr">
        <is>
          <t>Capital Gain</t>
        </is>
      </c>
      <c r="F2">
        <f>IF(D2&lt;&gt;"",D2*(E2/100),"")</f>
        <v/>
      </c>
    </row>
    <row r="3">
      <c r="B3" t="inlineStr">
        <is>
          <t>Dividendi</t>
        </is>
      </c>
    </row>
    <row r="4">
      <c r="B4" t="inlineStr">
        <is>
          <t>Interessi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  <col width="18" customWidth="1" min="8" max="8"/>
  </cols>
  <sheetData>
    <row r="1">
      <c r="A1" s="25" t="inlineStr">
        <is>
          <t>Data</t>
        </is>
      </c>
      <c r="B1" s="25" t="inlineStr">
        <is>
          <t>Investimenti</t>
        </is>
      </c>
      <c r="C1" s="25" t="inlineStr">
        <is>
          <t>Fondi</t>
        </is>
      </c>
      <c r="D1" s="25" t="inlineStr">
        <is>
          <t>Liquidità</t>
        </is>
      </c>
      <c r="E1" s="25" t="inlineStr">
        <is>
          <t>Totale Attivo</t>
        </is>
      </c>
      <c r="F1" s="25" t="inlineStr">
        <is>
          <t>Debiti</t>
        </is>
      </c>
      <c r="G1" s="25" t="inlineStr">
        <is>
          <t>Patrimonio Netto</t>
        </is>
      </c>
      <c r="H1" s="25" t="inlineStr">
        <is>
          <t>Var. % Mensile</t>
        </is>
      </c>
    </row>
    <row r="2">
      <c r="E2">
        <f>SUM(B2:D2)</f>
        <v/>
      </c>
      <c r="G2">
        <f>E2-F2</f>
        <v/>
      </c>
      <c r="H2">
        <f>IF(G1&lt;&gt;0,(G2-G1)/G1*100,"")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2025-11-23T09:49:43Z</dcterms:created>
  <dcterms:modified xsi:type="dcterms:W3CDTF">2025-11-23T09:49:43Z</dcterms:modified>
</cp:coreProperties>
</file>