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zioni" sheetId="2" state="visible" r:id="rId2"/>
    <sheet name="ETF" sheetId="3" state="visible" r:id="rId3"/>
    <sheet name="Bond" sheetId="4" state="visible" r:id="rId4"/>
    <sheet name="Fondi Comuni" sheetId="5" state="visible" r:id="rId5"/>
    <sheet name="Conti &amp; Liquidità" sheetId="6" state="visible" r:id="rId6"/>
    <sheet name="Mutuo &amp; Debiti" sheetId="7" state="visible" r:id="rId7"/>
    <sheet name="Stipendi" sheetId="8" state="visible" r:id="rId8"/>
    <sheet name="Spese Mensili" sheetId="9" state="visible" r:id="rId9"/>
    <sheet name="Tasse" sheetId="10" state="visible" r:id="rId10"/>
    <sheet name="Storico Patrimoni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RIEPILOGO PATRIMONIO</t>
        </is>
      </c>
      <c r="B1" s="1" t="inlineStr"/>
    </row>
    <row r="2">
      <c r="A2" t="inlineStr"/>
      <c r="B2" t="inlineStr"/>
    </row>
    <row r="3">
      <c r="A3" s="2" t="inlineStr">
        <is>
          <t>Categoria</t>
        </is>
      </c>
      <c r="B3" s="2" t="inlineStr">
        <is>
          <t>Valore (€)</t>
        </is>
      </c>
    </row>
    <row r="4">
      <c r="A4" t="inlineStr">
        <is>
          <t>Azioni</t>
        </is>
      </c>
      <c r="B4">
        <f>SUMIF(Azioni!A:A,"&lt;&gt;",Azioni!H:H)</f>
        <v/>
      </c>
    </row>
    <row r="5">
      <c r="A5" t="inlineStr">
        <is>
          <t>ETF</t>
        </is>
      </c>
      <c r="B5">
        <f>SUMIF(ETF!A:A,"&lt;&gt;",ETF!H:H)</f>
        <v/>
      </c>
    </row>
    <row r="6">
      <c r="A6" t="inlineStr">
        <is>
          <t>Bond</t>
        </is>
      </c>
      <c r="B6">
        <f>SUMIF(Bond!A:A,"&lt;&gt;",Bond!G:G)</f>
        <v/>
      </c>
    </row>
    <row r="7">
      <c r="A7" t="inlineStr">
        <is>
          <t>Fondi Comuni</t>
        </is>
      </c>
      <c r="B7">
        <f>SUMIF('Fondi Comuni'!A:A,"&lt;&gt;",'Fondi Comuni'!F:F)</f>
        <v/>
      </c>
    </row>
    <row r="8">
      <c r="A8" t="inlineStr">
        <is>
          <t>Conti &amp; Liquidità</t>
        </is>
      </c>
      <c r="B8">
        <f>SUMIF('Conti &amp; Liquidità'!A:A,"&lt;&gt;",'Conti &amp; Liquidità'!C:C)</f>
        <v/>
      </c>
    </row>
    <row r="9">
      <c r="A9" s="3" t="inlineStr">
        <is>
          <t>TOTALE ATTIVO</t>
        </is>
      </c>
      <c r="B9" s="3">
        <f>SUM(B4:B8)</f>
        <v/>
      </c>
    </row>
    <row r="10">
      <c r="A10" t="inlineStr"/>
    </row>
    <row r="11">
      <c r="A11" t="inlineStr">
        <is>
          <t>Mutuo &amp; Debiti</t>
        </is>
      </c>
      <c r="B11">
        <f>SUMIF('Mutuo &amp; Debiti'!A:A,"&lt;&gt;",'Mutuo &amp; Debiti'!C:C)</f>
        <v/>
      </c>
    </row>
    <row r="12">
      <c r="A12" s="3" t="inlineStr">
        <is>
          <t>TOTALE PASSIVO</t>
        </is>
      </c>
      <c r="B12" s="3">
        <f>B11</f>
        <v/>
      </c>
    </row>
    <row r="13">
      <c r="A13" t="inlineStr"/>
    </row>
    <row r="14">
      <c r="A14" s="3" t="inlineStr">
        <is>
          <t>PATRIMONIO NETTO</t>
        </is>
      </c>
      <c r="B14" s="3">
        <f>B9-B12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5" customWidth="1" min="8" max="8"/>
    <col width="12" customWidth="1" min="9" max="9"/>
    <col width="20" customWidth="1" min="10" max="10"/>
    <col width="15" customWidth="1" min="11" max="11"/>
    <col width="30" customWidth="1" min="12" max="12"/>
  </cols>
  <sheetData>
    <row r="1">
      <c r="A1" s="4" t="inlineStr">
        <is>
          <t>Ticker</t>
        </is>
      </c>
      <c r="B1" s="4" t="inlineStr">
        <is>
          <t>Nome</t>
        </is>
      </c>
      <c r="C1" s="4" t="inlineStr">
        <is>
          <t>Quantità</t>
        </is>
      </c>
      <c r="D1" s="4" t="inlineStr">
        <is>
          <t>Prezzo Carico (€)</t>
        </is>
      </c>
      <c r="E1" s="4" t="inlineStr">
        <is>
          <t>Prezzo Corrente (€)</t>
        </is>
      </c>
      <c r="F1" s="4" t="inlineStr">
        <is>
          <t>Valore Carico (€)</t>
        </is>
      </c>
      <c r="G1" s="4" t="inlineStr">
        <is>
          <t>Valore Corrente (€)</t>
        </is>
      </c>
      <c r="H1" s="4" t="inlineStr">
        <is>
          <t>P&amp;L (€)</t>
        </is>
      </c>
      <c r="I1" s="4" t="inlineStr">
        <is>
          <t>P&amp;L (%)</t>
        </is>
      </c>
      <c r="J1" s="4" t="inlineStr">
        <is>
          <t>Dividendi Ricevuti (€)</t>
        </is>
      </c>
      <c r="K1" s="4" t="inlineStr">
        <is>
          <t>Data Acquisto</t>
        </is>
      </c>
      <c r="L1" s="4" t="inlineStr">
        <is>
          <t>Note</t>
        </is>
      </c>
    </row>
    <row r="2">
      <c r="E2">
        <f>IFERROR(GOOGLEFINANCE(A2,"price"),"")</f>
        <v/>
      </c>
      <c r="F2">
        <f>IF(C2&lt;&gt;"",C2*D2,"")</f>
        <v/>
      </c>
      <c r="G2">
        <f>IF(C2&lt;&gt;"",C2*E2,"")</f>
        <v/>
      </c>
      <c r="H2">
        <f>IF(G2&lt;&gt;"",G2-F2,"")</f>
        <v/>
      </c>
      <c r="I2">
        <f>IF(F2&lt;&gt;0,H2/F2*100,"")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5" customWidth="1" min="8" max="8"/>
    <col width="12" customWidth="1" min="9" max="9"/>
    <col width="20" customWidth="1" min="10" max="10"/>
    <col width="15" customWidth="1" min="11" max="11"/>
    <col width="30" customWidth="1" min="12" max="12"/>
  </cols>
  <sheetData>
    <row r="1">
      <c r="A1" s="4" t="inlineStr">
        <is>
          <t>Ticker</t>
        </is>
      </c>
      <c r="B1" s="4" t="inlineStr">
        <is>
          <t>Nome</t>
        </is>
      </c>
      <c r="C1" s="4" t="inlineStr">
        <is>
          <t>Quantità</t>
        </is>
      </c>
      <c r="D1" s="4" t="inlineStr">
        <is>
          <t>Prezzo Carico (€)</t>
        </is>
      </c>
      <c r="E1" s="4" t="inlineStr">
        <is>
          <t>Prezzo Corrente (€)</t>
        </is>
      </c>
      <c r="F1" s="4" t="inlineStr">
        <is>
          <t>Valore Carico (€)</t>
        </is>
      </c>
      <c r="G1" s="4" t="inlineStr">
        <is>
          <t>Valore Corrente (€)</t>
        </is>
      </c>
      <c r="H1" s="4" t="inlineStr">
        <is>
          <t>P&amp;L (€)</t>
        </is>
      </c>
      <c r="I1" s="4" t="inlineStr">
        <is>
          <t>P&amp;L (%)</t>
        </is>
      </c>
      <c r="J1" s="4" t="inlineStr">
        <is>
          <t>Dividendi Ricevuti (€)</t>
        </is>
      </c>
      <c r="K1" s="4" t="inlineStr">
        <is>
          <t>Data Acquisto</t>
        </is>
      </c>
      <c r="L1" s="4" t="inlineStr">
        <is>
          <t>Note</t>
        </is>
      </c>
    </row>
    <row r="2">
      <c r="E2">
        <f>IFERROR(GOOGLEFINANCE(A2,"price"),"")</f>
        <v/>
      </c>
      <c r="F2">
        <f>IF(C2&lt;&gt;"",C2*D2,"")</f>
        <v/>
      </c>
      <c r="G2">
        <f>IF(C2&lt;&gt;"",C2*E2,"")</f>
        <v/>
      </c>
      <c r="H2">
        <f>IF(G2&lt;&gt;"",G2-F2,"")</f>
        <v/>
      </c>
      <c r="I2">
        <f>IF(F2&lt;&gt;0,H2/F2*100,"")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18" customWidth="1" min="7" max="7"/>
    <col width="18" customWidth="1" min="8" max="8"/>
    <col width="18" customWidth="1" min="9" max="9"/>
    <col width="20" customWidth="1" min="10" max="10"/>
    <col width="30" customWidth="1" min="11" max="11"/>
  </cols>
  <sheetData>
    <row r="1">
      <c r="A1" s="4" t="inlineStr">
        <is>
          <t>Nome/ISIN</t>
        </is>
      </c>
      <c r="B1" s="4" t="inlineStr">
        <is>
          <t>Valore Nominale (€)</t>
        </is>
      </c>
      <c r="C1" s="4" t="inlineStr">
        <is>
          <t>Prezzo Acquisto (%)</t>
        </is>
      </c>
      <c r="D1" s="4" t="inlineStr">
        <is>
          <t>Data Acquisto</t>
        </is>
      </c>
      <c r="E1" s="4" t="inlineStr">
        <is>
          <t>Scadenza</t>
        </is>
      </c>
      <c r="F1" s="4" t="inlineStr">
        <is>
          <t>Cedola (%)</t>
        </is>
      </c>
      <c r="G1" s="4" t="inlineStr">
        <is>
          <t>Frequenza Cedole</t>
        </is>
      </c>
      <c r="H1" s="4" t="inlineStr">
        <is>
          <t>Valore Corrente (€)</t>
        </is>
      </c>
      <c r="I1" s="4" t="inlineStr">
        <is>
          <t>Rendimento YTM (%)</t>
        </is>
      </c>
      <c r="J1" s="4" t="inlineStr">
        <is>
          <t>Cedole Incassate (€)</t>
        </is>
      </c>
      <c r="K1" s="4" t="inlineStr">
        <is>
          <t>Note</t>
        </is>
      </c>
    </row>
    <row r="2">
      <c r="H2">
        <f>IF(B2&lt;&gt;"",B2*(C2/100),"")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0" customWidth="1" min="3" max="3"/>
    <col width="18" customWidth="1" min="4" max="4"/>
    <col width="18" customWidth="1" min="5" max="5"/>
    <col width="18" customWidth="1" min="6" max="6"/>
    <col width="15" customWidth="1" min="7" max="7"/>
    <col width="12" customWidth="1" min="8" max="8"/>
    <col width="15" customWidth="1" min="9" max="9"/>
    <col width="30" customWidth="1" min="10" max="10"/>
  </cols>
  <sheetData>
    <row r="1">
      <c r="A1" s="4" t="inlineStr">
        <is>
          <t>Nome Fondo</t>
        </is>
      </c>
      <c r="B1" s="4" t="inlineStr">
        <is>
          <t>ISIN</t>
        </is>
      </c>
      <c r="C1" s="4" t="inlineStr">
        <is>
          <t>Quote</t>
        </is>
      </c>
      <c r="D1" s="4" t="inlineStr">
        <is>
          <t>Prezzo Carico (€)</t>
        </is>
      </c>
      <c r="E1" s="4" t="inlineStr">
        <is>
          <t>Prezzo Corrente (€)</t>
        </is>
      </c>
      <c r="F1" s="4" t="inlineStr">
        <is>
          <t>Valore Corrente (€)</t>
        </is>
      </c>
      <c r="G1" s="4" t="inlineStr">
        <is>
          <t>P&amp;L (€)</t>
        </is>
      </c>
      <c r="H1" s="4" t="inlineStr">
        <is>
          <t>P&amp;L (%)</t>
        </is>
      </c>
      <c r="I1" s="4" t="inlineStr">
        <is>
          <t>Data Acquisto</t>
        </is>
      </c>
      <c r="J1" s="4" t="inlineStr">
        <is>
          <t>Note</t>
        </is>
      </c>
    </row>
    <row r="2">
      <c r="F2">
        <f>IF(C2&lt;&gt;"",C2*E2,"")</f>
        <v/>
      </c>
      <c r="G2">
        <f>IF(F2&lt;&gt;"",F2-(C2*D2),"")</f>
        <v/>
      </c>
      <c r="H2">
        <f>IF(C2*D2&lt;&gt;0,G2/(C2*D2)*100,"")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8" customWidth="1" min="4" max="4"/>
    <col width="18" customWidth="1" min="5" max="5"/>
    <col width="20" customWidth="1" min="6" max="6"/>
    <col width="30" customWidth="1" min="7" max="7"/>
  </cols>
  <sheetData>
    <row r="1">
      <c r="A1" s="4" t="inlineStr">
        <is>
          <t>Nome Conto/Banca</t>
        </is>
      </c>
      <c r="B1" s="4" t="inlineStr">
        <is>
          <t>Tipo</t>
        </is>
      </c>
      <c r="C1" s="4" t="inlineStr">
        <is>
          <t>Saldo (€)</t>
        </is>
      </c>
      <c r="D1" s="4" t="inlineStr">
        <is>
          <t>Tasso Interesse (%)</t>
        </is>
      </c>
      <c r="E1" s="4" t="inlineStr">
        <is>
          <t>Scadenza Vincolo</t>
        </is>
      </c>
      <c r="F1" s="4" t="inlineStr">
        <is>
          <t>Interessi Maturati (€)</t>
        </is>
      </c>
      <c r="G1" s="4" t="inlineStr">
        <is>
          <t>Note</t>
        </is>
      </c>
    </row>
    <row r="2">
      <c r="B2" t="inlineStr">
        <is>
          <t>Conto Corrente</t>
        </is>
      </c>
    </row>
    <row r="3">
      <c r="B3" t="inlineStr">
        <is>
          <t>Deposito Libero</t>
        </is>
      </c>
    </row>
    <row r="4">
      <c r="B4" t="inlineStr">
        <is>
          <t>Deposito Vincolato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8" customWidth="1" min="4" max="4"/>
    <col width="18" customWidth="1" min="5" max="5"/>
    <col width="15" customWidth="1" min="6" max="6"/>
    <col width="15" customWidth="1" min="7" max="7"/>
    <col width="30" customWidth="1" min="8" max="8"/>
  </cols>
  <sheetData>
    <row r="1">
      <c r="A1" s="4" t="inlineStr">
        <is>
          <t>Tipo Debito</t>
        </is>
      </c>
      <c r="B1" s="4" t="inlineStr">
        <is>
          <t>Importo Iniziale (€)</t>
        </is>
      </c>
      <c r="C1" s="4" t="inlineStr">
        <is>
          <t>Debito Residuo (€)</t>
        </is>
      </c>
      <c r="D1" s="4" t="inlineStr">
        <is>
          <t>Tasso Interesse (%)</t>
        </is>
      </c>
      <c r="E1" s="4" t="inlineStr">
        <is>
          <t>Rata Mensile (€)</t>
        </is>
      </c>
      <c r="F1" s="4" t="inlineStr">
        <is>
          <t>Data Inizio</t>
        </is>
      </c>
      <c r="G1" s="4" t="inlineStr">
        <is>
          <t>Scadenza</t>
        </is>
      </c>
      <c r="H1" s="4" t="inlineStr">
        <is>
          <t>Note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20" customWidth="1" min="4" max="4"/>
    <col width="18" customWidth="1" min="5" max="5"/>
    <col width="18" customWidth="1" min="6" max="6"/>
    <col width="30" customWidth="1" min="7" max="7"/>
  </cols>
  <sheetData>
    <row r="1">
      <c r="A1" s="4" t="inlineStr">
        <is>
          <t>Anno</t>
        </is>
      </c>
      <c r="B1" s="4" t="inlineStr">
        <is>
          <t>Mese</t>
        </is>
      </c>
      <c r="C1" s="4" t="inlineStr">
        <is>
          <t>Stipendio Lordo (€)</t>
        </is>
      </c>
      <c r="D1" s="4" t="inlineStr">
        <is>
          <t>Stipendio Netto (€)</t>
        </is>
      </c>
      <c r="E1" s="4" t="inlineStr">
        <is>
          <t>Bonus/Extra (€)</t>
        </is>
      </c>
      <c r="F1" s="4" t="inlineStr">
        <is>
          <t>Totale Netto (€)</t>
        </is>
      </c>
      <c r="G1" s="4" t="inlineStr">
        <is>
          <t>Note</t>
        </is>
      </c>
    </row>
    <row r="2">
      <c r="A2" t="n">
        <v>2025</v>
      </c>
      <c r="B2" t="inlineStr">
        <is>
          <t>Gennaio</t>
        </is>
      </c>
      <c r="F2">
        <f>IF(D2&lt;&gt;"",D2+E2,"")</f>
        <v/>
      </c>
    </row>
    <row r="3">
      <c r="A3" t="n">
        <v>2025</v>
      </c>
      <c r="B3" t="inlineStr">
        <is>
          <t>Febbraio</t>
        </is>
      </c>
    </row>
    <row r="4">
      <c r="A4" t="n">
        <v>2025</v>
      </c>
      <c r="B4" t="inlineStr">
        <is>
          <t>Marzo</t>
        </is>
      </c>
    </row>
    <row r="5">
      <c r="A5" t="n">
        <v>2025</v>
      </c>
      <c r="B5" t="inlineStr">
        <is>
          <t>Aprile</t>
        </is>
      </c>
    </row>
    <row r="6">
      <c r="A6" t="n">
        <v>2025</v>
      </c>
      <c r="B6" t="inlineStr">
        <is>
          <t>Maggio</t>
        </is>
      </c>
    </row>
    <row r="7">
      <c r="A7" t="n">
        <v>2025</v>
      </c>
      <c r="B7" t="inlineStr">
        <is>
          <t>Giugno</t>
        </is>
      </c>
    </row>
    <row r="8">
      <c r="A8" t="n">
        <v>2025</v>
      </c>
      <c r="B8" t="inlineStr">
        <is>
          <t>Luglio</t>
        </is>
      </c>
    </row>
    <row r="9">
      <c r="A9" t="n">
        <v>2025</v>
      </c>
      <c r="B9" t="inlineStr">
        <is>
          <t>Agosto</t>
        </is>
      </c>
    </row>
    <row r="10">
      <c r="A10" t="n">
        <v>2025</v>
      </c>
      <c r="B10" t="inlineStr">
        <is>
          <t>Settembre</t>
        </is>
      </c>
    </row>
    <row r="11">
      <c r="A11" t="n">
        <v>2025</v>
      </c>
      <c r="B11" t="inlineStr">
        <is>
          <t>Ottobre</t>
        </is>
      </c>
    </row>
    <row r="12">
      <c r="A12" t="n">
        <v>2025</v>
      </c>
      <c r="B12" t="inlineStr">
        <is>
          <t>Novembre</t>
        </is>
      </c>
    </row>
    <row r="13">
      <c r="A13" t="n">
        <v>2025</v>
      </c>
      <c r="B13" t="inlineStr">
        <is>
          <t>Dicembre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2" customWidth="1" min="4" max="4"/>
    <col width="12" customWidth="1" min="5" max="5"/>
    <col width="12" customWidth="1" min="6" max="6"/>
    <col width="15" customWidth="1" min="7" max="7"/>
    <col width="15" customWidth="1" min="8" max="8"/>
    <col width="12" customWidth="1" min="9" max="9"/>
    <col width="12" customWidth="1" min="10" max="10"/>
    <col width="15" customWidth="1" min="11" max="11"/>
    <col width="30" customWidth="1" min="12" max="12"/>
  </cols>
  <sheetData>
    <row r="1">
      <c r="A1" s="4" t="inlineStr">
        <is>
          <t>Anno</t>
        </is>
      </c>
      <c r="B1" s="4" t="inlineStr">
        <is>
          <t>Mese</t>
        </is>
      </c>
      <c r="C1" s="4" t="inlineStr">
        <is>
          <t>Affitto/Mutuo (€)</t>
        </is>
      </c>
      <c r="D1" s="4" t="inlineStr">
        <is>
          <t>Bollette (€)</t>
        </is>
      </c>
      <c r="E1" s="4" t="inlineStr">
        <is>
          <t>Spesa (€)</t>
        </is>
      </c>
      <c r="F1" s="4" t="inlineStr">
        <is>
          <t>Trasporti (€)</t>
        </is>
      </c>
      <c r="G1" s="4" t="inlineStr">
        <is>
          <t>Assicurazioni (€)</t>
        </is>
      </c>
      <c r="H1" s="4" t="inlineStr">
        <is>
          <t>Abbonamenti (€)</t>
        </is>
      </c>
      <c r="I1" s="4" t="inlineStr">
        <is>
          <t>Svago (€)</t>
        </is>
      </c>
      <c r="J1" s="4" t="inlineStr">
        <is>
          <t>Altro (€)</t>
        </is>
      </c>
      <c r="K1" s="4" t="inlineStr">
        <is>
          <t>TOTALE (€)</t>
        </is>
      </c>
      <c r="L1" s="4" t="inlineStr">
        <is>
          <t>Note</t>
        </is>
      </c>
    </row>
    <row r="2">
      <c r="A2" t="n">
        <v>2025</v>
      </c>
      <c r="B2" t="inlineStr">
        <is>
          <t>Gennaio</t>
        </is>
      </c>
      <c r="K2">
        <f>SUM(C2:J2)</f>
        <v/>
      </c>
    </row>
    <row r="3">
      <c r="A3" t="n">
        <v>2025</v>
      </c>
      <c r="B3" t="inlineStr">
        <is>
          <t>Febbraio</t>
        </is>
      </c>
    </row>
    <row r="4">
      <c r="A4" t="n">
        <v>2025</v>
      </c>
      <c r="B4" t="inlineStr">
        <is>
          <t>Marzo</t>
        </is>
      </c>
    </row>
    <row r="5">
      <c r="A5" t="n">
        <v>2025</v>
      </c>
      <c r="B5" t="inlineStr">
        <is>
          <t>Aprile</t>
        </is>
      </c>
    </row>
    <row r="6">
      <c r="A6" t="n">
        <v>2025</v>
      </c>
      <c r="B6" t="inlineStr">
        <is>
          <t>Maggio</t>
        </is>
      </c>
    </row>
    <row r="7">
      <c r="A7" t="n">
        <v>2025</v>
      </c>
      <c r="B7" t="inlineStr">
        <is>
          <t>Giugno</t>
        </is>
      </c>
    </row>
    <row r="8">
      <c r="A8" t="n">
        <v>2025</v>
      </c>
      <c r="B8" t="inlineStr">
        <is>
          <t>Luglio</t>
        </is>
      </c>
    </row>
    <row r="9">
      <c r="A9" t="n">
        <v>2025</v>
      </c>
      <c r="B9" t="inlineStr">
        <is>
          <t>Agosto</t>
        </is>
      </c>
    </row>
    <row r="10">
      <c r="A10" t="n">
        <v>2025</v>
      </c>
      <c r="B10" t="inlineStr">
        <is>
          <t>Settembre</t>
        </is>
      </c>
    </row>
    <row r="11">
      <c r="A11" t="n">
        <v>2025</v>
      </c>
      <c r="B11" t="inlineStr">
        <is>
          <t>Ottobre</t>
        </is>
      </c>
    </row>
    <row r="12">
      <c r="A12" t="n">
        <v>2025</v>
      </c>
      <c r="B12" t="inlineStr">
        <is>
          <t>Novembre</t>
        </is>
      </c>
    </row>
    <row r="13">
      <c r="A13" t="n">
        <v>2025</v>
      </c>
      <c r="B13" t="inlineStr">
        <is>
          <t>Dicembre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5" customWidth="1" min="3" max="3"/>
    <col width="20" customWidth="1" min="4" max="4"/>
    <col width="15" customWidth="1" min="5" max="5"/>
    <col width="20" customWidth="1" min="6" max="6"/>
    <col width="18" customWidth="1" min="7" max="7"/>
    <col width="30" customWidth="1" min="8" max="8"/>
  </cols>
  <sheetData>
    <row r="1">
      <c r="A1" s="4" t="inlineStr">
        <is>
          <t>Anno Fiscale</t>
        </is>
      </c>
      <c r="B1" s="4" t="inlineStr">
        <is>
          <t>Tipo</t>
        </is>
      </c>
      <c r="C1" s="4" t="inlineStr">
        <is>
          <t>Descrizione</t>
        </is>
      </c>
      <c r="D1" s="4" t="inlineStr">
        <is>
          <t>Base Imponibile (€)</t>
        </is>
      </c>
      <c r="E1" s="4" t="inlineStr">
        <is>
          <t>Aliquota (%)</t>
        </is>
      </c>
      <c r="F1" s="4" t="inlineStr">
        <is>
          <t>Importo Pagato (€)</t>
        </is>
      </c>
      <c r="G1" s="4" t="inlineStr">
        <is>
          <t>Data Pagamento</t>
        </is>
      </c>
      <c r="H1" s="4" t="inlineStr">
        <is>
          <t>Note</t>
        </is>
      </c>
    </row>
    <row r="2">
      <c r="B2" t="inlineStr">
        <is>
          <t>Capital Gain</t>
        </is>
      </c>
      <c r="F2">
        <f>IF(D2&lt;&gt;"",D2*(E2/100),"")</f>
        <v/>
      </c>
    </row>
    <row r="3">
      <c r="B3" t="inlineStr">
        <is>
          <t>Dividendi</t>
        </is>
      </c>
    </row>
    <row r="4">
      <c r="B4" t="inlineStr">
        <is>
          <t>Interessi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  <col width="15" customWidth="1" min="8" max="8"/>
    <col width="20" customWidth="1" min="9" max="9"/>
    <col width="18" customWidth="1" min="10" max="10"/>
  </cols>
  <sheetData>
    <row r="1">
      <c r="A1" s="4" t="inlineStr">
        <is>
          <t>Data</t>
        </is>
      </c>
      <c r="B1" s="4" t="inlineStr">
        <is>
          <t>Azioni</t>
        </is>
      </c>
      <c r="C1" s="4" t="inlineStr">
        <is>
          <t>ETF</t>
        </is>
      </c>
      <c r="D1" s="4" t="inlineStr">
        <is>
          <t>Bond</t>
        </is>
      </c>
      <c r="E1" s="4" t="inlineStr">
        <is>
          <t>Fondi</t>
        </is>
      </c>
      <c r="F1" s="4" t="inlineStr">
        <is>
          <t>Liquidità</t>
        </is>
      </c>
      <c r="G1" s="4" t="inlineStr">
        <is>
          <t>Totale Attivo</t>
        </is>
      </c>
      <c r="H1" s="4" t="inlineStr">
        <is>
          <t>Debiti</t>
        </is>
      </c>
      <c r="I1" s="4" t="inlineStr">
        <is>
          <t>Patrimonio Netto</t>
        </is>
      </c>
      <c r="J1" s="4" t="inlineStr">
        <is>
          <t>Var. % Mensile</t>
        </is>
      </c>
    </row>
    <row r="2">
      <c r="G2">
        <f>SUM(B2:F2)</f>
        <v/>
      </c>
      <c r="I2">
        <f>G2-H2</f>
        <v/>
      </c>
      <c r="J2">
        <f>IF(I1&lt;&gt;0,(I2-I1)/I1*100,"")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2025-11-23T09:42:27Z</dcterms:created>
  <dcterms:modified xsi:type="dcterms:W3CDTF">2025-11-23T09:42:27Z</dcterms:modified>
</cp:coreProperties>
</file>